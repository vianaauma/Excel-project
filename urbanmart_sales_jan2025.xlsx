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Desktop\Auma Viana\"/>
    </mc:Choice>
  </mc:AlternateContent>
  <xr:revisionPtr revIDLastSave="0" documentId="8_{9B1DA1E4-3DF6-4F77-86DB-CAC7E53608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rbanMart Sales Jan 2025(Orig)" sheetId="2" r:id="rId1"/>
    <sheet name="Cleaned_Data" sheetId="4" r:id="rId2"/>
    <sheet name="Sheet2" sheetId="3" r:id="rId3"/>
  </sheets>
  <definedNames>
    <definedName name="_xlcn.WorksheetConnection_urbanmart_sales_jan2025.xlsxTable11" hidden="1">Table1[]</definedName>
    <definedName name="_xlcn.WorksheetConnection_urbanmart_sales_jan2025.xlsxTable131" hidden="1">Table13[]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3" name="Table13" connection="WorksheetConnection_urbanmart_sales_jan2025.xlsx!Table13"/>
          <x15:modelTable id="Table1" name="Table1" connection="WorksheetConnection_urbanmart_sales_jan2025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urbanmart_sales_jan2025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urbanmart_sales_jan2025.xlsxTable11"/>
        </x15:connection>
      </ext>
    </extLst>
  </connection>
  <connection id="3" xr16:uid="{00000000-0015-0000-FFFF-FFFF02000000}" name="WorksheetConnection_urbanmart_sales_jan2025.xlsx!Table13" type="102" refreshedVersion="6" minRefreshableVersion="5">
    <extLst>
      <ext xmlns:x15="http://schemas.microsoft.com/office/spreadsheetml/2010/11/main" uri="{DE250136-89BD-433C-8126-D09CA5730AF9}">
        <x15:connection id="Table13" autoDelete="1">
          <x15:rangePr sourceName="_xlcn.WorksheetConnection_urbanmart_sales_jan2025.xlsxTable131"/>
        </x15:connection>
      </ext>
    </extLst>
  </connection>
</connections>
</file>

<file path=xl/sharedStrings.xml><?xml version="1.0" encoding="utf-8"?>
<sst xmlns="http://schemas.openxmlformats.org/spreadsheetml/2006/main" count="755" uniqueCount="206">
  <si>
    <t>OrderID</t>
  </si>
  <si>
    <t>OrderDate</t>
  </si>
  <si>
    <t>Region</t>
  </si>
  <si>
    <t>CustomerName</t>
  </si>
  <si>
    <t>Category</t>
  </si>
  <si>
    <t>Product</t>
  </si>
  <si>
    <t>SalesAmount</t>
  </si>
  <si>
    <t>Quantity</t>
  </si>
  <si>
    <t>Channel</t>
  </si>
  <si>
    <t>ORD001</t>
  </si>
  <si>
    <t>2025-01-05</t>
  </si>
  <si>
    <t>Nairobi</t>
  </si>
  <si>
    <t xml:space="preserve">  John   Mwangi </t>
  </si>
  <si>
    <t>Electronics</t>
  </si>
  <si>
    <t>Smartphone</t>
  </si>
  <si>
    <t>120000</t>
  </si>
  <si>
    <t>Online</t>
  </si>
  <si>
    <t>ORD002</t>
  </si>
  <si>
    <t>05/01/2025</t>
  </si>
  <si>
    <t>nairobi</t>
  </si>
  <si>
    <t>Mary Wanjiku</t>
  </si>
  <si>
    <t>Laptop</t>
  </si>
  <si>
    <t>Ksh 85,000</t>
  </si>
  <si>
    <t>In-store</t>
  </si>
  <si>
    <t>ORD003</t>
  </si>
  <si>
    <t>2025/01/07</t>
  </si>
  <si>
    <t>Mombasa</t>
  </si>
  <si>
    <t>Peter Otieno</t>
  </si>
  <si>
    <t>Home</t>
  </si>
  <si>
    <t>Microwave</t>
  </si>
  <si>
    <t xml:space="preserve">45000 </t>
  </si>
  <si>
    <t>ORD004</t>
  </si>
  <si>
    <t>2025-01-08</t>
  </si>
  <si>
    <t>Kisumu</t>
  </si>
  <si>
    <t>Grace  Achieng</t>
  </si>
  <si>
    <t>Blender</t>
  </si>
  <si>
    <t xml:space="preserve"> 15000</t>
  </si>
  <si>
    <t>ORD005</t>
  </si>
  <si>
    <t>08-01-2025</t>
  </si>
  <si>
    <t>Nakuru</t>
  </si>
  <si>
    <t>Samuel Kiptoo</t>
  </si>
  <si>
    <t>Headphones</t>
  </si>
  <si>
    <t>8000</t>
  </si>
  <si>
    <t>ORD006</t>
  </si>
  <si>
    <t>2025-01-10</t>
  </si>
  <si>
    <t>Lucy Njeri</t>
  </si>
  <si>
    <t>Clothing</t>
  </si>
  <si>
    <t>T-Shirt</t>
  </si>
  <si>
    <t>2500</t>
  </si>
  <si>
    <t>ORD007</t>
  </si>
  <si>
    <t>2025-01-11</t>
  </si>
  <si>
    <t>NAIROBI</t>
  </si>
  <si>
    <t>James Kariuki</t>
  </si>
  <si>
    <t>Jeans</t>
  </si>
  <si>
    <t xml:space="preserve"> 5500 </t>
  </si>
  <si>
    <t>ORD008</t>
  </si>
  <si>
    <t>11/01/2025</t>
  </si>
  <si>
    <t>Fatuma Ali</t>
  </si>
  <si>
    <t>Dress</t>
  </si>
  <si>
    <t>Ksh 6,500</t>
  </si>
  <si>
    <t>ORD009</t>
  </si>
  <si>
    <t>2025-01-12</t>
  </si>
  <si>
    <t xml:space="preserve">   Brian Odhiambo</t>
  </si>
  <si>
    <t>118000</t>
  </si>
  <si>
    <t>ORD010</t>
  </si>
  <si>
    <t>2025-01-13</t>
  </si>
  <si>
    <t>Anne Chebet</t>
  </si>
  <si>
    <t>Kettle</t>
  </si>
  <si>
    <t>3500</t>
  </si>
  <si>
    <t>ORD011</t>
  </si>
  <si>
    <t>2025-01-14</t>
  </si>
  <si>
    <t>David Kimani</t>
  </si>
  <si>
    <t>Tablet</t>
  </si>
  <si>
    <t>ORD012</t>
  </si>
  <si>
    <t>14/01/2025</t>
  </si>
  <si>
    <t>Aisha Mohammed</t>
  </si>
  <si>
    <t>Toaster</t>
  </si>
  <si>
    <t xml:space="preserve"> 2800 </t>
  </si>
  <si>
    <t>ORD013</t>
  </si>
  <si>
    <t>2025/01/15</t>
  </si>
  <si>
    <t>Kevin Ouma</t>
  </si>
  <si>
    <t>Shirt</t>
  </si>
  <si>
    <t>3000</t>
  </si>
  <si>
    <t>ORD014</t>
  </si>
  <si>
    <t>2025-01-16</t>
  </si>
  <si>
    <t>Faith  Jepchirchir</t>
  </si>
  <si>
    <t>95000</t>
  </si>
  <si>
    <t>ORD015</t>
  </si>
  <si>
    <t>16-01-2025</t>
  </si>
  <si>
    <t>Paul Mutiso</t>
  </si>
  <si>
    <t xml:space="preserve"> Vacuum Cleaner </t>
  </si>
  <si>
    <t>22000</t>
  </si>
  <si>
    <t>ORD016</t>
  </si>
  <si>
    <t>2025-01-18</t>
  </si>
  <si>
    <t>Hassan Omar</t>
  </si>
  <si>
    <t>Ksh 110,000</t>
  </si>
  <si>
    <t>ORD017</t>
  </si>
  <si>
    <t>Jane Anyango</t>
  </si>
  <si>
    <t>Skirt</t>
  </si>
  <si>
    <t>2700</t>
  </si>
  <si>
    <t>ORD018</t>
  </si>
  <si>
    <t>18/01/2025</t>
  </si>
  <si>
    <t>Mark Rotich</t>
  </si>
  <si>
    <t>Iron Box</t>
  </si>
  <si>
    <t xml:space="preserve"> 4000</t>
  </si>
  <si>
    <t>ORD019</t>
  </si>
  <si>
    <t>2025-01-20</t>
  </si>
  <si>
    <t xml:space="preserve">  Irene   Wambui</t>
  </si>
  <si>
    <t>7500</t>
  </si>
  <si>
    <t>ORD020</t>
  </si>
  <si>
    <t>2025-01-21</t>
  </si>
  <si>
    <t>Ali Said</t>
  </si>
  <si>
    <t>47000</t>
  </si>
  <si>
    <t>ORD021</t>
  </si>
  <si>
    <t>2025/01/22</t>
  </si>
  <si>
    <t>George Odongo</t>
  </si>
  <si>
    <t>39000</t>
  </si>
  <si>
    <t>ORD022</t>
  </si>
  <si>
    <t>22-01-2025</t>
  </si>
  <si>
    <t>Joyce Chepngeno</t>
  </si>
  <si>
    <t>Jacket</t>
  </si>
  <si>
    <t>Ksh 6,800</t>
  </si>
  <si>
    <t>ORD023</t>
  </si>
  <si>
    <t>2025-01-23</t>
  </si>
  <si>
    <t>Michael   Kamau</t>
  </si>
  <si>
    <t>3200</t>
  </si>
  <si>
    <t>ORD024</t>
  </si>
  <si>
    <t>2025-01-24</t>
  </si>
  <si>
    <t>Zainab Noor</t>
  </si>
  <si>
    <t>102000</t>
  </si>
  <si>
    <t>ORD025</t>
  </si>
  <si>
    <t>24/01/2025</t>
  </si>
  <si>
    <t>Andrew Otieno</t>
  </si>
  <si>
    <t>16000</t>
  </si>
  <si>
    <t>ORD026</t>
  </si>
  <si>
    <t>2025-01-25</t>
  </si>
  <si>
    <t>Ruth   Kosgei</t>
  </si>
  <si>
    <t>115000</t>
  </si>
  <si>
    <t>ORD027</t>
  </si>
  <si>
    <t>2025-01-26</t>
  </si>
  <si>
    <t>Simon Mwenda</t>
  </si>
  <si>
    <t>5600</t>
  </si>
  <si>
    <t>ORD028</t>
  </si>
  <si>
    <t>2025-01-27</t>
  </si>
  <si>
    <t>Sarah Juma</t>
  </si>
  <si>
    <t>6500</t>
  </si>
  <si>
    <t>ORD029</t>
  </si>
  <si>
    <t>2025/01/28</t>
  </si>
  <si>
    <t>Patrick Oloo</t>
  </si>
  <si>
    <t>Vacuum Cleaner</t>
  </si>
  <si>
    <t>21000</t>
  </si>
  <si>
    <t>ORD030</t>
  </si>
  <si>
    <t>28-01-2025</t>
  </si>
  <si>
    <t>Esther  Chelimo</t>
  </si>
  <si>
    <t>-5000</t>
  </si>
  <si>
    <t>ORD031</t>
  </si>
  <si>
    <t>2025-01-29</t>
  </si>
  <si>
    <t>Brian Karanja</t>
  </si>
  <si>
    <t>40000</t>
  </si>
  <si>
    <t>ORD032</t>
  </si>
  <si>
    <t>2025-01-30</t>
  </si>
  <si>
    <t>Halima Yusuf</t>
  </si>
  <si>
    <t>ORD033</t>
  </si>
  <si>
    <t>30/01/2025</t>
  </si>
  <si>
    <t>Tom Onyango</t>
  </si>
  <si>
    <t>ORD034</t>
  </si>
  <si>
    <t>2025-01-31</t>
  </si>
  <si>
    <t>Daniel Kipkirui</t>
  </si>
  <si>
    <t>98000</t>
  </si>
  <si>
    <t>ORD035</t>
  </si>
  <si>
    <t>2025-02-01</t>
  </si>
  <si>
    <t xml:space="preserve">  Mercy   Wairimu</t>
  </si>
  <si>
    <t>3800</t>
  </si>
  <si>
    <t>Order Date</t>
  </si>
  <si>
    <t>05-01-2025</t>
  </si>
  <si>
    <t>07-01-2025</t>
  </si>
  <si>
    <t>10-01-2025</t>
  </si>
  <si>
    <t>11-01-2025</t>
  </si>
  <si>
    <t>12-01-2025</t>
  </si>
  <si>
    <t>13-01-2025</t>
  </si>
  <si>
    <t>14-01-2025</t>
  </si>
  <si>
    <t>15-01-2025</t>
  </si>
  <si>
    <t>18-01-2025</t>
  </si>
  <si>
    <t>20-01-2025</t>
  </si>
  <si>
    <t>21-01-2025</t>
  </si>
  <si>
    <t>23-01-2025</t>
  </si>
  <si>
    <t>24-01-2025</t>
  </si>
  <si>
    <t>25-01-2025</t>
  </si>
  <si>
    <t>26-01-2025</t>
  </si>
  <si>
    <t>27-01-2025</t>
  </si>
  <si>
    <t>29-01-2025</t>
  </si>
  <si>
    <t>30-01-2025</t>
  </si>
  <si>
    <t>31-01-2025</t>
  </si>
  <si>
    <t>01-02-2025</t>
  </si>
  <si>
    <t>Sales_Amount</t>
  </si>
  <si>
    <t>Customer's Name</t>
  </si>
  <si>
    <t>John Mwangi</t>
  </si>
  <si>
    <t>Grace Achieng</t>
  </si>
  <si>
    <t>Brian Odhiambo</t>
  </si>
  <si>
    <t>Faith Jepchirchir</t>
  </si>
  <si>
    <t>Irene Wambui</t>
  </si>
  <si>
    <t>Michael Kamau</t>
  </si>
  <si>
    <t>Ruth Kosgei</t>
  </si>
  <si>
    <t>Esther Chelimo</t>
  </si>
  <si>
    <t>Mercy Wairimu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</si>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</sst>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13">
    <dxf>
      <numFmt numFmtId="30" formatCode="@"/>
    </dxf>
    <dxf>
      <numFmt numFmtId="1" formatCode="0"/>
    </dxf>
    <dxf>
      <numFmt numFmtId="165" formatCode="0;[Red]0"/>
    </dxf>
    <dxf>
      <numFmt numFmtId="30" formatCode="@"/>
    </dxf>
    <dxf>
      <numFmt numFmtId="164" formatCode="[$-F800]dddd\,\ mmmm\ dd\,\ yyyy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0" formatCode="General"/>
    </dxf>
    <dxf>
      <numFmt numFmtId="30" formatCode="@"/>
    </dxf>
    <dxf>
      <numFmt numFmtId="1" formatCode="0"/>
    </dxf>
    <dxf>
      <numFmt numFmtId="165" formatCode="0;[Red]0"/>
    </dxf>
    <dxf>
      <numFmt numFmtId="30" formatCode="@"/>
    </dxf>
    <dxf>
      <numFmt numFmtId="164" formatCode="[$-F800]dddd\,\ mmmm\ dd\,\ yyyy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I35" totalsRowShown="0" tableBorderDxfId="5">
  <autoFilter ref="A1:I35" xr:uid="{00000000-0009-0000-0100-000002000000}"/>
  <tableColumns count="9">
    <tableColumn id="1" xr3:uid="{00000000-0010-0000-0000-000001000000}" name="OrderID"/>
    <tableColumn id="2" xr3:uid="{00000000-0010-0000-0000-000002000000}" name="Order Date" dataDxfId="4"/>
    <tableColumn id="3" xr3:uid="{00000000-0010-0000-0000-000003000000}" name="Region" dataDxfId="3"/>
    <tableColumn id="4" xr3:uid="{00000000-0010-0000-0000-000004000000}" name="Customer's Name"/>
    <tableColumn id="5" xr3:uid="{00000000-0010-0000-0000-000005000000}" name="Category"/>
    <tableColumn id="6" xr3:uid="{00000000-0010-0000-0000-000006000000}" name="Product"/>
    <tableColumn id="7" xr3:uid="{00000000-0010-0000-0000-000007000000}" name="Sales_Amount" dataDxfId="2"/>
    <tableColumn id="8" xr3:uid="{00000000-0010-0000-0000-000008000000}" name="Quantity" dataDxfId="1"/>
    <tableColumn id="9" xr3:uid="{00000000-0010-0000-0000-000009000000}" name="Channel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J36" totalsRowShown="0" tableBorderDxfId="12">
  <autoFilter ref="A1:J36" xr:uid="{00000000-0009-0000-0100-000001000000}"/>
  <tableColumns count="10">
    <tableColumn id="1" xr3:uid="{00000000-0010-0000-0100-000001000000}" name="OrderID"/>
    <tableColumn id="2" xr3:uid="{00000000-0010-0000-0100-000002000000}" name="Order Date" dataDxfId="11"/>
    <tableColumn id="3" xr3:uid="{00000000-0010-0000-0100-000003000000}" name="Region" dataDxfId="10"/>
    <tableColumn id="4" xr3:uid="{00000000-0010-0000-0100-000004000000}" name="Customer's Name"/>
    <tableColumn id="5" xr3:uid="{00000000-0010-0000-0100-000005000000}" name="Category"/>
    <tableColumn id="6" xr3:uid="{00000000-0010-0000-0100-000006000000}" name="Product"/>
    <tableColumn id="7" xr3:uid="{00000000-0010-0000-0100-000007000000}" name="Sales_Amount" dataDxfId="9"/>
    <tableColumn id="8" xr3:uid="{00000000-0010-0000-0100-000008000000}" name="Quantity" dataDxfId="8"/>
    <tableColumn id="9" xr3:uid="{00000000-0010-0000-0100-000009000000}" name="Channel" dataDxfId="7"/>
    <tableColumn id="10" xr3:uid="{00000000-0010-0000-0100-00000A000000}" name="Column1" dataDxfId="6">
      <calculatedColumnFormula>ISNUMBER(Table1[[#This Row],[Order 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1" workbookViewId="0">
      <selection activeCell="G31" sqref="G31"/>
    </sheetView>
  </sheetViews>
  <sheetFormatPr defaultRowHeight="14.5" x14ac:dyDescent="0.35"/>
  <cols>
    <col min="2" max="2" width="8.7265625" style="1"/>
  </cols>
  <sheetData>
    <row r="1" spans="1:1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 t="s">
        <v>9</v>
      </c>
      <c r="B2" s="1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 t="s">
        <v>16</v>
      </c>
      <c r="K2" t="e">
        <f>VLOOKUP(ORD30,A1:I36,7)</f>
        <v>#N/A</v>
      </c>
    </row>
    <row r="3" spans="1:11" x14ac:dyDescent="0.35">
      <c r="A3" t="s">
        <v>17</v>
      </c>
      <c r="B3" s="1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>
        <v>1</v>
      </c>
      <c r="I3" t="s">
        <v>23</v>
      </c>
    </row>
    <row r="4" spans="1:11" x14ac:dyDescent="0.35">
      <c r="A4" t="s">
        <v>24</v>
      </c>
      <c r="B4" s="1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1</v>
      </c>
      <c r="I4" t="s">
        <v>23</v>
      </c>
    </row>
    <row r="5" spans="1:11" x14ac:dyDescent="0.35">
      <c r="A5" t="s">
        <v>31</v>
      </c>
      <c r="B5" s="1" t="s">
        <v>32</v>
      </c>
      <c r="C5" t="s">
        <v>33</v>
      </c>
      <c r="D5" t="s">
        <v>34</v>
      </c>
      <c r="E5" t="s">
        <v>28</v>
      </c>
      <c r="F5" t="s">
        <v>35</v>
      </c>
      <c r="G5" t="s">
        <v>36</v>
      </c>
      <c r="H5">
        <v>2</v>
      </c>
      <c r="I5" t="s">
        <v>16</v>
      </c>
    </row>
    <row r="6" spans="1:11" x14ac:dyDescent="0.35">
      <c r="A6" t="s">
        <v>37</v>
      </c>
      <c r="B6" s="1" t="s">
        <v>38</v>
      </c>
      <c r="C6" t="s">
        <v>39</v>
      </c>
      <c r="D6" t="s">
        <v>40</v>
      </c>
      <c r="E6" t="s">
        <v>13</v>
      </c>
      <c r="F6" t="s">
        <v>41</v>
      </c>
      <c r="G6" t="s">
        <v>42</v>
      </c>
      <c r="H6">
        <v>3</v>
      </c>
      <c r="I6" t="s">
        <v>16</v>
      </c>
    </row>
    <row r="7" spans="1:11" x14ac:dyDescent="0.35">
      <c r="A7" t="s">
        <v>43</v>
      </c>
      <c r="B7" s="1" t="s">
        <v>44</v>
      </c>
      <c r="C7" t="s">
        <v>11</v>
      </c>
      <c r="D7" t="s">
        <v>45</v>
      </c>
      <c r="E7" t="s">
        <v>46</v>
      </c>
      <c r="F7" t="s">
        <v>47</v>
      </c>
      <c r="G7" t="s">
        <v>48</v>
      </c>
      <c r="H7">
        <v>5</v>
      </c>
      <c r="I7" t="s">
        <v>23</v>
      </c>
    </row>
    <row r="8" spans="1:11" x14ac:dyDescent="0.35">
      <c r="A8" t="s">
        <v>49</v>
      </c>
      <c r="B8" s="1" t="s">
        <v>50</v>
      </c>
      <c r="C8" t="s">
        <v>51</v>
      </c>
      <c r="D8" t="s">
        <v>52</v>
      </c>
      <c r="E8" t="s">
        <v>46</v>
      </c>
      <c r="F8" t="s">
        <v>53</v>
      </c>
      <c r="G8" t="s">
        <v>54</v>
      </c>
      <c r="H8">
        <v>2</v>
      </c>
      <c r="I8" t="s">
        <v>16</v>
      </c>
    </row>
    <row r="9" spans="1:11" x14ac:dyDescent="0.35">
      <c r="A9" t="s">
        <v>55</v>
      </c>
      <c r="B9" s="1" t="s">
        <v>56</v>
      </c>
      <c r="C9" t="s">
        <v>26</v>
      </c>
      <c r="D9" t="s">
        <v>57</v>
      </c>
      <c r="E9" t="s">
        <v>46</v>
      </c>
      <c r="F9" t="s">
        <v>58</v>
      </c>
      <c r="G9" t="s">
        <v>59</v>
      </c>
      <c r="H9">
        <v>1</v>
      </c>
      <c r="I9" t="s">
        <v>23</v>
      </c>
    </row>
    <row r="10" spans="1:11" x14ac:dyDescent="0.35">
      <c r="A10" t="s">
        <v>60</v>
      </c>
      <c r="B10" s="1" t="s">
        <v>61</v>
      </c>
      <c r="C10" t="s">
        <v>33</v>
      </c>
      <c r="D10" t="s">
        <v>62</v>
      </c>
      <c r="E10" t="s">
        <v>13</v>
      </c>
      <c r="F10" t="s">
        <v>14</v>
      </c>
      <c r="G10" t="s">
        <v>63</v>
      </c>
      <c r="H10">
        <v>1</v>
      </c>
      <c r="I10" t="s">
        <v>16</v>
      </c>
    </row>
    <row r="11" spans="1:11" x14ac:dyDescent="0.35">
      <c r="A11" t="s">
        <v>64</v>
      </c>
      <c r="B11" s="1" t="s">
        <v>65</v>
      </c>
      <c r="C11" t="s">
        <v>39</v>
      </c>
      <c r="D11" t="s">
        <v>66</v>
      </c>
      <c r="E11" t="s">
        <v>28</v>
      </c>
      <c r="F11" t="s">
        <v>67</v>
      </c>
      <c r="G11" t="s">
        <v>68</v>
      </c>
      <c r="H11">
        <v>2</v>
      </c>
      <c r="I11" t="s">
        <v>23</v>
      </c>
    </row>
    <row r="12" spans="1:11" x14ac:dyDescent="0.35">
      <c r="A12" t="s">
        <v>69</v>
      </c>
      <c r="B12" s="1" t="s">
        <v>70</v>
      </c>
      <c r="C12" t="s">
        <v>11</v>
      </c>
      <c r="D12" t="s">
        <v>71</v>
      </c>
      <c r="F12" t="s">
        <v>13</v>
      </c>
      <c r="G12" t="s">
        <v>72</v>
      </c>
      <c r="H12">
        <v>4</v>
      </c>
      <c r="I12" t="s">
        <v>16</v>
      </c>
    </row>
    <row r="13" spans="1:11" x14ac:dyDescent="0.35">
      <c r="A13" t="s">
        <v>73</v>
      </c>
      <c r="B13" s="1" t="s">
        <v>74</v>
      </c>
      <c r="C13" t="s">
        <v>26</v>
      </c>
      <c r="D13" t="s">
        <v>75</v>
      </c>
      <c r="E13" t="s">
        <v>28</v>
      </c>
      <c r="F13" t="s">
        <v>76</v>
      </c>
      <c r="G13" t="s">
        <v>77</v>
      </c>
      <c r="H13">
        <v>1</v>
      </c>
      <c r="I13" t="s">
        <v>16</v>
      </c>
    </row>
    <row r="14" spans="1:11" x14ac:dyDescent="0.35">
      <c r="A14" t="s">
        <v>78</v>
      </c>
      <c r="B14" s="1" t="s">
        <v>79</v>
      </c>
      <c r="C14" t="s">
        <v>33</v>
      </c>
      <c r="D14" t="s">
        <v>80</v>
      </c>
      <c r="E14" t="s">
        <v>46</v>
      </c>
      <c r="F14" t="s">
        <v>81</v>
      </c>
      <c r="G14" t="s">
        <v>82</v>
      </c>
      <c r="H14">
        <v>3</v>
      </c>
      <c r="I14" t="s">
        <v>23</v>
      </c>
    </row>
    <row r="15" spans="1:11" x14ac:dyDescent="0.35">
      <c r="A15" t="s">
        <v>83</v>
      </c>
      <c r="B15" s="1" t="s">
        <v>84</v>
      </c>
      <c r="C15" t="s">
        <v>39</v>
      </c>
      <c r="D15" t="s">
        <v>85</v>
      </c>
      <c r="E15" t="s">
        <v>13</v>
      </c>
      <c r="F15" t="s">
        <v>21</v>
      </c>
      <c r="G15" t="s">
        <v>86</v>
      </c>
      <c r="H15">
        <v>1</v>
      </c>
      <c r="I15" t="s">
        <v>16</v>
      </c>
    </row>
    <row r="16" spans="1:11" x14ac:dyDescent="0.35">
      <c r="A16" t="s">
        <v>87</v>
      </c>
      <c r="B16" s="1" t="s">
        <v>88</v>
      </c>
      <c r="C16" t="s">
        <v>11</v>
      </c>
      <c r="D16" t="s">
        <v>89</v>
      </c>
      <c r="E16" t="s">
        <v>28</v>
      </c>
      <c r="F16" t="s">
        <v>90</v>
      </c>
      <c r="G16" t="s">
        <v>91</v>
      </c>
      <c r="H16">
        <v>1</v>
      </c>
      <c r="I16" t="s">
        <v>23</v>
      </c>
    </row>
    <row r="17" spans="1:9" x14ac:dyDescent="0.35">
      <c r="A17" t="s">
        <v>92</v>
      </c>
      <c r="B17" s="1" t="s">
        <v>93</v>
      </c>
      <c r="C17" t="s">
        <v>26</v>
      </c>
      <c r="D17" t="s">
        <v>94</v>
      </c>
      <c r="E17" t="s">
        <v>13</v>
      </c>
      <c r="F17" t="s">
        <v>14</v>
      </c>
      <c r="G17" t="s">
        <v>95</v>
      </c>
      <c r="H17">
        <v>1</v>
      </c>
      <c r="I17" t="s">
        <v>16</v>
      </c>
    </row>
    <row r="18" spans="1:9" x14ac:dyDescent="0.35">
      <c r="A18" t="s">
        <v>96</v>
      </c>
      <c r="B18" s="1" t="s">
        <v>93</v>
      </c>
      <c r="C18" t="s">
        <v>33</v>
      </c>
      <c r="D18" t="s">
        <v>97</v>
      </c>
      <c r="E18" t="s">
        <v>46</v>
      </c>
      <c r="F18" t="s">
        <v>98</v>
      </c>
      <c r="G18" t="s">
        <v>99</v>
      </c>
      <c r="H18">
        <v>2</v>
      </c>
      <c r="I18" t="s">
        <v>23</v>
      </c>
    </row>
    <row r="19" spans="1:9" x14ac:dyDescent="0.35">
      <c r="A19" t="s">
        <v>100</v>
      </c>
      <c r="B19" s="1" t="s">
        <v>101</v>
      </c>
      <c r="C19" t="s">
        <v>39</v>
      </c>
      <c r="D19" t="s">
        <v>102</v>
      </c>
      <c r="E19" t="s">
        <v>28</v>
      </c>
      <c r="F19" t="s">
        <v>103</v>
      </c>
      <c r="G19" t="s">
        <v>104</v>
      </c>
      <c r="H19">
        <v>1</v>
      </c>
      <c r="I19" t="s">
        <v>16</v>
      </c>
    </row>
    <row r="20" spans="1:9" x14ac:dyDescent="0.35">
      <c r="A20" t="s">
        <v>105</v>
      </c>
      <c r="B20" s="1" t="s">
        <v>106</v>
      </c>
      <c r="C20" t="s">
        <v>11</v>
      </c>
      <c r="D20" t="s">
        <v>107</v>
      </c>
      <c r="E20" t="s">
        <v>13</v>
      </c>
      <c r="F20" t="s">
        <v>41</v>
      </c>
      <c r="G20" t="s">
        <v>108</v>
      </c>
      <c r="H20">
        <v>2</v>
      </c>
      <c r="I20" t="s">
        <v>16</v>
      </c>
    </row>
    <row r="21" spans="1:9" x14ac:dyDescent="0.35">
      <c r="A21" t="s">
        <v>109</v>
      </c>
      <c r="B21" s="1" t="s">
        <v>110</v>
      </c>
      <c r="C21" t="s">
        <v>26</v>
      </c>
      <c r="D21" t="s">
        <v>111</v>
      </c>
      <c r="E21" t="s">
        <v>28</v>
      </c>
      <c r="F21" t="s">
        <v>29</v>
      </c>
      <c r="G21" t="s">
        <v>112</v>
      </c>
      <c r="H21">
        <v>1</v>
      </c>
      <c r="I21" t="s">
        <v>23</v>
      </c>
    </row>
    <row r="22" spans="1:9" x14ac:dyDescent="0.35">
      <c r="A22" t="s">
        <v>113</v>
      </c>
      <c r="B22" s="1" t="s">
        <v>114</v>
      </c>
      <c r="C22" t="s">
        <v>33</v>
      </c>
      <c r="D22" t="s">
        <v>115</v>
      </c>
      <c r="E22" t="s">
        <v>13</v>
      </c>
      <c r="F22" t="s">
        <v>72</v>
      </c>
      <c r="G22" t="s">
        <v>116</v>
      </c>
      <c r="H22">
        <v>1</v>
      </c>
      <c r="I22" t="s">
        <v>16</v>
      </c>
    </row>
    <row r="23" spans="1:9" x14ac:dyDescent="0.35">
      <c r="A23" t="s">
        <v>117</v>
      </c>
      <c r="B23" s="1" t="s">
        <v>118</v>
      </c>
      <c r="C23" t="s">
        <v>39</v>
      </c>
      <c r="D23" t="s">
        <v>119</v>
      </c>
      <c r="E23" t="s">
        <v>46</v>
      </c>
      <c r="F23" t="s">
        <v>120</v>
      </c>
      <c r="G23" t="s">
        <v>121</v>
      </c>
      <c r="H23">
        <v>1</v>
      </c>
      <c r="I23" t="s">
        <v>23</v>
      </c>
    </row>
    <row r="24" spans="1:9" x14ac:dyDescent="0.35">
      <c r="A24" t="s">
        <v>122</v>
      </c>
      <c r="B24" s="1" t="s">
        <v>123</v>
      </c>
      <c r="C24" t="s">
        <v>11</v>
      </c>
      <c r="D24" t="s">
        <v>124</v>
      </c>
      <c r="E24" t="s">
        <v>28</v>
      </c>
      <c r="F24" t="s">
        <v>67</v>
      </c>
      <c r="G24" t="s">
        <v>125</v>
      </c>
      <c r="H24">
        <v>2</v>
      </c>
      <c r="I24" t="s">
        <v>16</v>
      </c>
    </row>
    <row r="25" spans="1:9" x14ac:dyDescent="0.35">
      <c r="A25" t="s">
        <v>126</v>
      </c>
      <c r="B25" s="1" t="s">
        <v>127</v>
      </c>
      <c r="C25" t="s">
        <v>26</v>
      </c>
      <c r="D25" t="s">
        <v>128</v>
      </c>
      <c r="E25" t="s">
        <v>13</v>
      </c>
      <c r="F25" t="s">
        <v>21</v>
      </c>
      <c r="G25" t="s">
        <v>129</v>
      </c>
      <c r="H25">
        <v>1</v>
      </c>
      <c r="I25" t="s">
        <v>16</v>
      </c>
    </row>
    <row r="26" spans="1:9" x14ac:dyDescent="0.35">
      <c r="A26" t="s">
        <v>130</v>
      </c>
      <c r="B26" s="1" t="s">
        <v>131</v>
      </c>
      <c r="C26" t="s">
        <v>33</v>
      </c>
      <c r="D26" t="s">
        <v>132</v>
      </c>
      <c r="E26" t="s">
        <v>28</v>
      </c>
      <c r="F26" t="s">
        <v>35</v>
      </c>
      <c r="G26" t="s">
        <v>133</v>
      </c>
      <c r="H26">
        <v>1</v>
      </c>
      <c r="I26" t="s">
        <v>23</v>
      </c>
    </row>
    <row r="27" spans="1:9" x14ac:dyDescent="0.35">
      <c r="A27" t="s">
        <v>134</v>
      </c>
      <c r="B27" s="1" t="s">
        <v>135</v>
      </c>
      <c r="C27" t="s">
        <v>39</v>
      </c>
      <c r="D27" t="s">
        <v>136</v>
      </c>
      <c r="E27" t="s">
        <v>13</v>
      </c>
      <c r="F27" t="s">
        <v>14</v>
      </c>
      <c r="G27" t="s">
        <v>137</v>
      </c>
      <c r="H27">
        <v>1</v>
      </c>
      <c r="I27" t="s">
        <v>16</v>
      </c>
    </row>
    <row r="28" spans="1:9" x14ac:dyDescent="0.35">
      <c r="A28" t="s">
        <v>138</v>
      </c>
      <c r="B28" s="1" t="s">
        <v>139</v>
      </c>
      <c r="C28" t="s">
        <v>11</v>
      </c>
      <c r="D28" t="s">
        <v>140</v>
      </c>
      <c r="E28" t="s">
        <v>46</v>
      </c>
      <c r="F28" t="s">
        <v>53</v>
      </c>
      <c r="G28" t="s">
        <v>141</v>
      </c>
      <c r="H28">
        <v>2</v>
      </c>
      <c r="I28" t="s">
        <v>23</v>
      </c>
    </row>
    <row r="29" spans="1:9" x14ac:dyDescent="0.35">
      <c r="A29" t="s">
        <v>142</v>
      </c>
      <c r="B29" s="1" t="s">
        <v>143</v>
      </c>
      <c r="C29" t="s">
        <v>26</v>
      </c>
      <c r="D29" t="s">
        <v>144</v>
      </c>
      <c r="E29" t="s">
        <v>46</v>
      </c>
      <c r="F29" t="s">
        <v>58</v>
      </c>
      <c r="G29" t="s">
        <v>145</v>
      </c>
      <c r="H29">
        <v>1</v>
      </c>
      <c r="I29" t="s">
        <v>16</v>
      </c>
    </row>
    <row r="30" spans="1:9" x14ac:dyDescent="0.35">
      <c r="A30" t="s">
        <v>146</v>
      </c>
      <c r="B30" s="1" t="s">
        <v>147</v>
      </c>
      <c r="C30" t="s">
        <v>33</v>
      </c>
      <c r="D30" t="s">
        <v>148</v>
      </c>
      <c r="E30" t="s">
        <v>28</v>
      </c>
      <c r="F30" t="s">
        <v>149</v>
      </c>
      <c r="G30" t="s">
        <v>150</v>
      </c>
      <c r="H30">
        <v>1</v>
      </c>
      <c r="I30" t="s">
        <v>16</v>
      </c>
    </row>
    <row r="31" spans="1:9" x14ac:dyDescent="0.35">
      <c r="A31" t="s">
        <v>151</v>
      </c>
      <c r="B31" s="1" t="s">
        <v>152</v>
      </c>
      <c r="C31" t="s">
        <v>39</v>
      </c>
      <c r="D31" t="s">
        <v>153</v>
      </c>
      <c r="E31" t="s">
        <v>13</v>
      </c>
      <c r="F31" t="s">
        <v>41</v>
      </c>
      <c r="G31" t="s">
        <v>154</v>
      </c>
      <c r="H31">
        <v>1</v>
      </c>
      <c r="I31" t="s">
        <v>23</v>
      </c>
    </row>
    <row r="32" spans="1:9" x14ac:dyDescent="0.35">
      <c r="A32" t="s">
        <v>155</v>
      </c>
      <c r="B32" s="1" t="s">
        <v>156</v>
      </c>
      <c r="C32" t="s">
        <v>11</v>
      </c>
      <c r="D32" t="s">
        <v>157</v>
      </c>
      <c r="E32" t="s">
        <v>13</v>
      </c>
      <c r="F32" t="s">
        <v>72</v>
      </c>
      <c r="G32" t="s">
        <v>158</v>
      </c>
      <c r="H32">
        <v>1</v>
      </c>
      <c r="I32" t="s">
        <v>16</v>
      </c>
    </row>
    <row r="33" spans="1:9" x14ac:dyDescent="0.35">
      <c r="A33" t="s">
        <v>159</v>
      </c>
      <c r="B33" s="1" t="s">
        <v>160</v>
      </c>
      <c r="C33" t="s">
        <v>26</v>
      </c>
      <c r="D33" t="s">
        <v>161</v>
      </c>
      <c r="E33" t="s">
        <v>28</v>
      </c>
      <c r="F33" t="s">
        <v>76</v>
      </c>
      <c r="G33" t="s">
        <v>82</v>
      </c>
      <c r="H33">
        <v>1</v>
      </c>
      <c r="I33" t="s">
        <v>23</v>
      </c>
    </row>
    <row r="34" spans="1:9" x14ac:dyDescent="0.35">
      <c r="A34" t="s">
        <v>162</v>
      </c>
      <c r="B34" s="1" t="s">
        <v>163</v>
      </c>
      <c r="C34" t="s">
        <v>33</v>
      </c>
      <c r="D34" t="s">
        <v>164</v>
      </c>
      <c r="E34" t="s">
        <v>46</v>
      </c>
      <c r="F34" t="s">
        <v>47</v>
      </c>
      <c r="G34" t="s">
        <v>48</v>
      </c>
      <c r="H34">
        <v>4</v>
      </c>
      <c r="I34" t="s">
        <v>16</v>
      </c>
    </row>
    <row r="35" spans="1:9" x14ac:dyDescent="0.35">
      <c r="A35" t="s">
        <v>165</v>
      </c>
      <c r="B35" s="1" t="s">
        <v>166</v>
      </c>
      <c r="C35" t="s">
        <v>39</v>
      </c>
      <c r="D35" t="s">
        <v>167</v>
      </c>
      <c r="E35" t="s">
        <v>13</v>
      </c>
      <c r="F35" t="s">
        <v>21</v>
      </c>
      <c r="G35" t="s">
        <v>168</v>
      </c>
      <c r="H35">
        <v>1</v>
      </c>
      <c r="I35" t="s">
        <v>16</v>
      </c>
    </row>
    <row r="36" spans="1:9" x14ac:dyDescent="0.35">
      <c r="A36" t="s">
        <v>169</v>
      </c>
      <c r="B36" s="1" t="s">
        <v>170</v>
      </c>
      <c r="C36" t="s">
        <v>11</v>
      </c>
      <c r="D36" t="s">
        <v>171</v>
      </c>
      <c r="E36" t="s">
        <v>28</v>
      </c>
      <c r="F36" t="s">
        <v>103</v>
      </c>
      <c r="G36" t="s">
        <v>172</v>
      </c>
      <c r="H36">
        <v>1</v>
      </c>
      <c r="I3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opLeftCell="A2" workbookViewId="0">
      <selection activeCell="B2" sqref="B2:B35"/>
    </sheetView>
  </sheetViews>
  <sheetFormatPr defaultRowHeight="14.5" x14ac:dyDescent="0.35"/>
  <cols>
    <col min="1" max="1" width="10.08984375" customWidth="1"/>
    <col min="2" max="2" width="12.90625" customWidth="1"/>
    <col min="3" max="3" width="9.1796875" style="3" bestFit="1" customWidth="1"/>
    <col min="4" max="4" width="19.08984375" customWidth="1"/>
    <col min="5" max="5" width="10.90625" customWidth="1"/>
    <col min="6" max="6" width="15.36328125" bestFit="1" customWidth="1"/>
    <col min="7" max="7" width="16" style="8" customWidth="1"/>
    <col min="8" max="8" width="10.7265625" style="4" customWidth="1"/>
    <col min="9" max="9" width="10.26953125" style="3" customWidth="1"/>
  </cols>
  <sheetData>
    <row r="1" spans="1:9" s="2" customFormat="1" ht="15.5" x14ac:dyDescent="0.35">
      <c r="A1" s="2" t="s">
        <v>0</v>
      </c>
      <c r="B1" s="2" t="s">
        <v>173</v>
      </c>
      <c r="C1" s="5" t="s">
        <v>2</v>
      </c>
      <c r="D1" s="2" t="s">
        <v>195</v>
      </c>
      <c r="E1" s="2" t="s">
        <v>4</v>
      </c>
      <c r="F1" s="2" t="s">
        <v>5</v>
      </c>
      <c r="G1" s="7" t="s">
        <v>194</v>
      </c>
      <c r="H1" s="6" t="s">
        <v>7</v>
      </c>
      <c r="I1" s="5" t="s">
        <v>8</v>
      </c>
    </row>
    <row r="2" spans="1:9" x14ac:dyDescent="0.35">
      <c r="A2" t="s">
        <v>9</v>
      </c>
      <c r="B2" s="1" t="s">
        <v>174</v>
      </c>
      <c r="C2" s="3" t="s">
        <v>11</v>
      </c>
      <c r="D2" t="s">
        <v>196</v>
      </c>
      <c r="E2" t="s">
        <v>13</v>
      </c>
      <c r="F2" t="s">
        <v>14</v>
      </c>
      <c r="G2" s="8">
        <v>120000</v>
      </c>
      <c r="H2" s="4">
        <v>2</v>
      </c>
      <c r="I2" s="3" t="s">
        <v>16</v>
      </c>
    </row>
    <row r="3" spans="1:9" x14ac:dyDescent="0.35">
      <c r="A3" t="s">
        <v>17</v>
      </c>
      <c r="B3" s="1" t="s">
        <v>174</v>
      </c>
      <c r="C3" s="3" t="s">
        <v>11</v>
      </c>
      <c r="D3" t="s">
        <v>20</v>
      </c>
      <c r="E3" t="s">
        <v>13</v>
      </c>
      <c r="F3" t="s">
        <v>21</v>
      </c>
      <c r="G3" s="8">
        <v>85000</v>
      </c>
      <c r="H3" s="4">
        <v>1</v>
      </c>
      <c r="I3" s="3" t="s">
        <v>23</v>
      </c>
    </row>
    <row r="4" spans="1:9" x14ac:dyDescent="0.35">
      <c r="A4" t="s">
        <v>24</v>
      </c>
      <c r="B4" s="1" t="s">
        <v>175</v>
      </c>
      <c r="C4" s="3" t="s">
        <v>26</v>
      </c>
      <c r="D4" t="s">
        <v>27</v>
      </c>
      <c r="E4" t="s">
        <v>28</v>
      </c>
      <c r="F4" t="s">
        <v>29</v>
      </c>
      <c r="G4" s="8">
        <v>45000</v>
      </c>
      <c r="H4" s="4">
        <v>1</v>
      </c>
      <c r="I4" s="3" t="s">
        <v>23</v>
      </c>
    </row>
    <row r="5" spans="1:9" x14ac:dyDescent="0.35">
      <c r="A5" t="s">
        <v>31</v>
      </c>
      <c r="B5" s="1" t="s">
        <v>38</v>
      </c>
      <c r="C5" s="3" t="s">
        <v>33</v>
      </c>
      <c r="D5" t="s">
        <v>197</v>
      </c>
      <c r="E5" t="s">
        <v>28</v>
      </c>
      <c r="F5" t="s">
        <v>35</v>
      </c>
      <c r="G5" s="8">
        <v>15000</v>
      </c>
      <c r="H5" s="4">
        <v>2</v>
      </c>
      <c r="I5" s="3" t="s">
        <v>16</v>
      </c>
    </row>
    <row r="6" spans="1:9" x14ac:dyDescent="0.35">
      <c r="A6" t="s">
        <v>37</v>
      </c>
      <c r="B6" s="1" t="s">
        <v>38</v>
      </c>
      <c r="C6" s="3" t="s">
        <v>39</v>
      </c>
      <c r="D6" t="s">
        <v>40</v>
      </c>
      <c r="E6" t="s">
        <v>13</v>
      </c>
      <c r="F6" t="s">
        <v>41</v>
      </c>
      <c r="G6" s="8">
        <v>8000</v>
      </c>
      <c r="H6" s="4">
        <v>3</v>
      </c>
      <c r="I6" s="3" t="s">
        <v>16</v>
      </c>
    </row>
    <row r="7" spans="1:9" x14ac:dyDescent="0.35">
      <c r="A7" t="s">
        <v>43</v>
      </c>
      <c r="B7" s="1" t="s">
        <v>176</v>
      </c>
      <c r="C7" s="3" t="s">
        <v>11</v>
      </c>
      <c r="D7" t="s">
        <v>45</v>
      </c>
      <c r="E7" t="s">
        <v>46</v>
      </c>
      <c r="F7" t="s">
        <v>47</v>
      </c>
      <c r="G7" s="8">
        <v>2500</v>
      </c>
      <c r="H7" s="4">
        <v>5</v>
      </c>
      <c r="I7" s="3" t="s">
        <v>23</v>
      </c>
    </row>
    <row r="8" spans="1:9" x14ac:dyDescent="0.35">
      <c r="A8" t="s">
        <v>49</v>
      </c>
      <c r="B8" s="1" t="s">
        <v>177</v>
      </c>
      <c r="C8" s="3" t="s">
        <v>11</v>
      </c>
      <c r="D8" t="s">
        <v>52</v>
      </c>
      <c r="E8" t="s">
        <v>46</v>
      </c>
      <c r="F8" t="s">
        <v>53</v>
      </c>
      <c r="G8" s="8">
        <v>5500</v>
      </c>
      <c r="H8" s="4">
        <v>2</v>
      </c>
      <c r="I8" s="3" t="s">
        <v>16</v>
      </c>
    </row>
    <row r="9" spans="1:9" x14ac:dyDescent="0.35">
      <c r="A9" t="s">
        <v>55</v>
      </c>
      <c r="B9" s="1" t="s">
        <v>177</v>
      </c>
      <c r="C9" s="3" t="s">
        <v>26</v>
      </c>
      <c r="D9" t="s">
        <v>57</v>
      </c>
      <c r="E9" t="s">
        <v>46</v>
      </c>
      <c r="F9" t="s">
        <v>58</v>
      </c>
      <c r="G9" s="8">
        <v>6500</v>
      </c>
      <c r="H9" s="4">
        <v>1</v>
      </c>
      <c r="I9" s="3" t="s">
        <v>23</v>
      </c>
    </row>
    <row r="10" spans="1:9" x14ac:dyDescent="0.35">
      <c r="A10" t="s">
        <v>60</v>
      </c>
      <c r="B10" s="1" t="s">
        <v>178</v>
      </c>
      <c r="C10" s="3" t="s">
        <v>33</v>
      </c>
      <c r="D10" t="s">
        <v>198</v>
      </c>
      <c r="E10" t="s">
        <v>13</v>
      </c>
      <c r="F10" t="s">
        <v>14</v>
      </c>
      <c r="G10" s="8">
        <v>118000</v>
      </c>
      <c r="H10" s="4">
        <v>1</v>
      </c>
      <c r="I10" s="3" t="s">
        <v>16</v>
      </c>
    </row>
    <row r="11" spans="1:9" x14ac:dyDescent="0.35">
      <c r="A11" t="s">
        <v>64</v>
      </c>
      <c r="B11" s="1" t="s">
        <v>179</v>
      </c>
      <c r="C11" s="3" t="s">
        <v>39</v>
      </c>
      <c r="D11" t="s">
        <v>66</v>
      </c>
      <c r="E11" t="s">
        <v>28</v>
      </c>
      <c r="F11" t="s">
        <v>67</v>
      </c>
      <c r="G11" s="8">
        <v>3500</v>
      </c>
      <c r="H11" s="4">
        <v>2</v>
      </c>
      <c r="I11" s="3" t="s">
        <v>23</v>
      </c>
    </row>
    <row r="12" spans="1:9" x14ac:dyDescent="0.35">
      <c r="A12" t="s">
        <v>73</v>
      </c>
      <c r="B12" s="1" t="s">
        <v>180</v>
      </c>
      <c r="C12" s="3" t="s">
        <v>26</v>
      </c>
      <c r="D12" t="s">
        <v>75</v>
      </c>
      <c r="E12" t="s">
        <v>28</v>
      </c>
      <c r="F12" t="s">
        <v>76</v>
      </c>
      <c r="G12" s="8">
        <v>2800</v>
      </c>
      <c r="H12" s="4">
        <v>1</v>
      </c>
      <c r="I12" s="3" t="s">
        <v>16</v>
      </c>
    </row>
    <row r="13" spans="1:9" x14ac:dyDescent="0.35">
      <c r="A13" t="s">
        <v>78</v>
      </c>
      <c r="B13" s="1" t="s">
        <v>181</v>
      </c>
      <c r="C13" s="3" t="s">
        <v>33</v>
      </c>
      <c r="D13" t="s">
        <v>80</v>
      </c>
      <c r="E13" t="s">
        <v>46</v>
      </c>
      <c r="F13" t="s">
        <v>81</v>
      </c>
      <c r="G13" s="8">
        <v>3000</v>
      </c>
      <c r="H13" s="4">
        <v>3</v>
      </c>
      <c r="I13" s="3" t="s">
        <v>23</v>
      </c>
    </row>
    <row r="14" spans="1:9" x14ac:dyDescent="0.35">
      <c r="A14" t="s">
        <v>83</v>
      </c>
      <c r="B14" s="1" t="s">
        <v>88</v>
      </c>
      <c r="C14" s="3" t="s">
        <v>39</v>
      </c>
      <c r="D14" t="s">
        <v>199</v>
      </c>
      <c r="E14" t="s">
        <v>13</v>
      </c>
      <c r="F14" t="s">
        <v>21</v>
      </c>
      <c r="G14" s="8">
        <v>95000</v>
      </c>
      <c r="H14" s="4">
        <v>1</v>
      </c>
      <c r="I14" s="3" t="s">
        <v>16</v>
      </c>
    </row>
    <row r="15" spans="1:9" x14ac:dyDescent="0.35">
      <c r="A15" t="s">
        <v>87</v>
      </c>
      <c r="B15" s="1" t="s">
        <v>88</v>
      </c>
      <c r="C15" s="3" t="s">
        <v>11</v>
      </c>
      <c r="D15" t="s">
        <v>89</v>
      </c>
      <c r="E15" t="s">
        <v>28</v>
      </c>
      <c r="F15" t="s">
        <v>149</v>
      </c>
      <c r="G15" s="8">
        <v>22000</v>
      </c>
      <c r="H15" s="4">
        <v>1</v>
      </c>
      <c r="I15" s="3" t="s">
        <v>23</v>
      </c>
    </row>
    <row r="16" spans="1:9" x14ac:dyDescent="0.35">
      <c r="A16" t="s">
        <v>92</v>
      </c>
      <c r="B16" s="1" t="s">
        <v>182</v>
      </c>
      <c r="C16" s="3" t="s">
        <v>26</v>
      </c>
      <c r="D16" t="s">
        <v>94</v>
      </c>
      <c r="E16" t="s">
        <v>13</v>
      </c>
      <c r="F16" t="s">
        <v>14</v>
      </c>
      <c r="G16" s="8">
        <v>110000</v>
      </c>
      <c r="H16" s="4">
        <v>1</v>
      </c>
      <c r="I16" s="3" t="s">
        <v>16</v>
      </c>
    </row>
    <row r="17" spans="1:9" x14ac:dyDescent="0.35">
      <c r="A17" t="s">
        <v>96</v>
      </c>
      <c r="B17" s="1" t="s">
        <v>182</v>
      </c>
      <c r="C17" s="3" t="s">
        <v>33</v>
      </c>
      <c r="D17" t="s">
        <v>97</v>
      </c>
      <c r="E17" t="s">
        <v>46</v>
      </c>
      <c r="F17" t="s">
        <v>98</v>
      </c>
      <c r="G17" s="8">
        <v>2700</v>
      </c>
      <c r="H17" s="4">
        <v>2</v>
      </c>
      <c r="I17" s="3" t="s">
        <v>23</v>
      </c>
    </row>
    <row r="18" spans="1:9" x14ac:dyDescent="0.35">
      <c r="A18" t="s">
        <v>100</v>
      </c>
      <c r="B18" s="1" t="s">
        <v>182</v>
      </c>
      <c r="C18" s="3" t="s">
        <v>39</v>
      </c>
      <c r="D18" t="s">
        <v>102</v>
      </c>
      <c r="E18" t="s">
        <v>28</v>
      </c>
      <c r="F18" t="s">
        <v>103</v>
      </c>
      <c r="G18" s="8">
        <v>4000</v>
      </c>
      <c r="H18" s="4">
        <v>1</v>
      </c>
      <c r="I18" s="3" t="s">
        <v>16</v>
      </c>
    </row>
    <row r="19" spans="1:9" x14ac:dyDescent="0.35">
      <c r="A19" t="s">
        <v>105</v>
      </c>
      <c r="B19" s="1" t="s">
        <v>183</v>
      </c>
      <c r="C19" s="3" t="s">
        <v>11</v>
      </c>
      <c r="D19" t="s">
        <v>200</v>
      </c>
      <c r="E19" t="s">
        <v>13</v>
      </c>
      <c r="F19" t="s">
        <v>41</v>
      </c>
      <c r="G19" s="8">
        <v>7500</v>
      </c>
      <c r="H19" s="4">
        <v>2</v>
      </c>
      <c r="I19" s="3" t="s">
        <v>16</v>
      </c>
    </row>
    <row r="20" spans="1:9" x14ac:dyDescent="0.35">
      <c r="A20" t="s">
        <v>109</v>
      </c>
      <c r="B20" s="1" t="s">
        <v>184</v>
      </c>
      <c r="C20" s="3" t="s">
        <v>26</v>
      </c>
      <c r="D20" t="s">
        <v>111</v>
      </c>
      <c r="E20" t="s">
        <v>28</v>
      </c>
      <c r="F20" t="s">
        <v>29</v>
      </c>
      <c r="G20" s="8">
        <v>47000</v>
      </c>
      <c r="H20" s="4">
        <v>1</v>
      </c>
      <c r="I20" s="3" t="s">
        <v>23</v>
      </c>
    </row>
    <row r="21" spans="1:9" x14ac:dyDescent="0.35">
      <c r="A21" t="s">
        <v>113</v>
      </c>
      <c r="B21" s="1" t="s">
        <v>118</v>
      </c>
      <c r="C21" s="3" t="s">
        <v>33</v>
      </c>
      <c r="D21" t="s">
        <v>115</v>
      </c>
      <c r="E21" t="s">
        <v>13</v>
      </c>
      <c r="F21" t="s">
        <v>72</v>
      </c>
      <c r="G21" s="8">
        <v>39000</v>
      </c>
      <c r="H21" s="4">
        <v>1</v>
      </c>
      <c r="I21" s="3" t="s">
        <v>16</v>
      </c>
    </row>
    <row r="22" spans="1:9" x14ac:dyDescent="0.35">
      <c r="A22" t="s">
        <v>117</v>
      </c>
      <c r="B22" s="1" t="s">
        <v>118</v>
      </c>
      <c r="C22" s="3" t="s">
        <v>39</v>
      </c>
      <c r="D22" t="s">
        <v>119</v>
      </c>
      <c r="E22" t="s">
        <v>46</v>
      </c>
      <c r="F22" t="s">
        <v>120</v>
      </c>
      <c r="G22" s="8">
        <v>6800</v>
      </c>
      <c r="H22" s="4">
        <v>1</v>
      </c>
      <c r="I22" s="3" t="s">
        <v>23</v>
      </c>
    </row>
    <row r="23" spans="1:9" x14ac:dyDescent="0.35">
      <c r="A23" t="s">
        <v>122</v>
      </c>
      <c r="B23" s="1" t="s">
        <v>185</v>
      </c>
      <c r="C23" s="3" t="s">
        <v>11</v>
      </c>
      <c r="D23" t="s">
        <v>201</v>
      </c>
      <c r="E23" t="s">
        <v>28</v>
      </c>
      <c r="F23" t="s">
        <v>67</v>
      </c>
      <c r="G23" s="8">
        <v>3200</v>
      </c>
      <c r="H23" s="4">
        <v>2</v>
      </c>
      <c r="I23" s="3" t="s">
        <v>16</v>
      </c>
    </row>
    <row r="24" spans="1:9" x14ac:dyDescent="0.35">
      <c r="A24" t="s">
        <v>126</v>
      </c>
      <c r="B24" s="1" t="s">
        <v>186</v>
      </c>
      <c r="C24" s="3" t="s">
        <v>26</v>
      </c>
      <c r="D24" t="s">
        <v>128</v>
      </c>
      <c r="E24" t="s">
        <v>13</v>
      </c>
      <c r="F24" t="s">
        <v>21</v>
      </c>
      <c r="G24" s="8">
        <v>102000</v>
      </c>
      <c r="H24" s="4">
        <v>1</v>
      </c>
      <c r="I24" s="3" t="s">
        <v>16</v>
      </c>
    </row>
    <row r="25" spans="1:9" x14ac:dyDescent="0.35">
      <c r="A25" t="s">
        <v>130</v>
      </c>
      <c r="B25" s="1" t="s">
        <v>186</v>
      </c>
      <c r="C25" s="3" t="s">
        <v>33</v>
      </c>
      <c r="D25" t="s">
        <v>132</v>
      </c>
      <c r="E25" t="s">
        <v>28</v>
      </c>
      <c r="F25" t="s">
        <v>35</v>
      </c>
      <c r="G25" s="8">
        <v>16000</v>
      </c>
      <c r="H25" s="4">
        <v>1</v>
      </c>
      <c r="I25" s="3" t="s">
        <v>23</v>
      </c>
    </row>
    <row r="26" spans="1:9" x14ac:dyDescent="0.35">
      <c r="A26" t="s">
        <v>134</v>
      </c>
      <c r="B26" s="1" t="s">
        <v>187</v>
      </c>
      <c r="C26" s="3" t="s">
        <v>39</v>
      </c>
      <c r="D26" t="s">
        <v>202</v>
      </c>
      <c r="E26" t="s">
        <v>13</v>
      </c>
      <c r="F26" t="s">
        <v>14</v>
      </c>
      <c r="G26" s="8">
        <v>115000</v>
      </c>
      <c r="H26" s="4">
        <v>1</v>
      </c>
      <c r="I26" s="3" t="s">
        <v>16</v>
      </c>
    </row>
    <row r="27" spans="1:9" x14ac:dyDescent="0.35">
      <c r="A27" t="s">
        <v>138</v>
      </c>
      <c r="B27" s="1" t="s">
        <v>188</v>
      </c>
      <c r="C27" s="3" t="s">
        <v>11</v>
      </c>
      <c r="D27" t="s">
        <v>140</v>
      </c>
      <c r="E27" t="s">
        <v>46</v>
      </c>
      <c r="F27" t="s">
        <v>53</v>
      </c>
      <c r="G27" s="8">
        <v>5600</v>
      </c>
      <c r="H27" s="4">
        <v>2</v>
      </c>
      <c r="I27" s="3" t="s">
        <v>23</v>
      </c>
    </row>
    <row r="28" spans="1:9" x14ac:dyDescent="0.35">
      <c r="A28" t="s">
        <v>142</v>
      </c>
      <c r="B28" s="1" t="s">
        <v>189</v>
      </c>
      <c r="C28" s="3" t="s">
        <v>26</v>
      </c>
      <c r="D28" t="s">
        <v>144</v>
      </c>
      <c r="E28" t="s">
        <v>46</v>
      </c>
      <c r="F28" t="s">
        <v>58</v>
      </c>
      <c r="G28" s="8">
        <v>6500</v>
      </c>
      <c r="H28" s="4">
        <v>1</v>
      </c>
      <c r="I28" s="3" t="s">
        <v>16</v>
      </c>
    </row>
    <row r="29" spans="1:9" x14ac:dyDescent="0.35">
      <c r="A29" t="s">
        <v>146</v>
      </c>
      <c r="B29" s="1" t="s">
        <v>152</v>
      </c>
      <c r="C29" s="3" t="s">
        <v>33</v>
      </c>
      <c r="D29" t="s">
        <v>148</v>
      </c>
      <c r="E29" t="s">
        <v>28</v>
      </c>
      <c r="F29" t="s">
        <v>149</v>
      </c>
      <c r="G29" s="8">
        <v>21000</v>
      </c>
      <c r="H29" s="4">
        <v>1</v>
      </c>
      <c r="I29" s="3" t="s">
        <v>16</v>
      </c>
    </row>
    <row r="30" spans="1:9" x14ac:dyDescent="0.35">
      <c r="A30" t="s">
        <v>151</v>
      </c>
      <c r="B30" s="1" t="s">
        <v>152</v>
      </c>
      <c r="C30" s="3" t="s">
        <v>39</v>
      </c>
      <c r="D30" t="s">
        <v>203</v>
      </c>
      <c r="E30" t="s">
        <v>13</v>
      </c>
      <c r="F30" t="s">
        <v>41</v>
      </c>
      <c r="G30" s="8">
        <v>-5000</v>
      </c>
      <c r="H30" s="4">
        <v>1</v>
      </c>
      <c r="I30" s="3" t="s">
        <v>23</v>
      </c>
    </row>
    <row r="31" spans="1:9" x14ac:dyDescent="0.35">
      <c r="A31" t="s">
        <v>155</v>
      </c>
      <c r="B31" s="1" t="s">
        <v>190</v>
      </c>
      <c r="C31" s="3" t="s">
        <v>11</v>
      </c>
      <c r="D31" t="s">
        <v>157</v>
      </c>
      <c r="E31" t="s">
        <v>13</v>
      </c>
      <c r="F31" t="s">
        <v>72</v>
      </c>
      <c r="G31" s="8">
        <v>40000</v>
      </c>
      <c r="H31" s="4">
        <v>1</v>
      </c>
      <c r="I31" s="3" t="s">
        <v>16</v>
      </c>
    </row>
    <row r="32" spans="1:9" x14ac:dyDescent="0.35">
      <c r="A32" t="s">
        <v>159</v>
      </c>
      <c r="B32" s="1" t="s">
        <v>191</v>
      </c>
      <c r="C32" s="3" t="s">
        <v>26</v>
      </c>
      <c r="D32" t="s">
        <v>161</v>
      </c>
      <c r="E32" t="s">
        <v>28</v>
      </c>
      <c r="F32" t="s">
        <v>76</v>
      </c>
      <c r="G32" s="8">
        <v>3000</v>
      </c>
      <c r="H32" s="4">
        <v>1</v>
      </c>
      <c r="I32" s="3" t="s">
        <v>23</v>
      </c>
    </row>
    <row r="33" spans="1:9" x14ac:dyDescent="0.35">
      <c r="A33" t="s">
        <v>162</v>
      </c>
      <c r="B33" s="1" t="s">
        <v>191</v>
      </c>
      <c r="C33" s="3" t="s">
        <v>33</v>
      </c>
      <c r="D33" t="s">
        <v>164</v>
      </c>
      <c r="E33" t="s">
        <v>46</v>
      </c>
      <c r="F33" t="s">
        <v>47</v>
      </c>
      <c r="G33" s="8">
        <v>2500</v>
      </c>
      <c r="H33" s="4">
        <v>4</v>
      </c>
      <c r="I33" s="3" t="s">
        <v>16</v>
      </c>
    </row>
    <row r="34" spans="1:9" x14ac:dyDescent="0.35">
      <c r="A34" t="s">
        <v>165</v>
      </c>
      <c r="B34" s="1" t="s">
        <v>192</v>
      </c>
      <c r="C34" s="3" t="s">
        <v>39</v>
      </c>
      <c r="D34" t="s">
        <v>167</v>
      </c>
      <c r="E34" t="s">
        <v>13</v>
      </c>
      <c r="F34" t="s">
        <v>21</v>
      </c>
      <c r="G34" s="8">
        <v>98000</v>
      </c>
      <c r="H34" s="4">
        <v>1</v>
      </c>
      <c r="I34" s="3" t="s">
        <v>16</v>
      </c>
    </row>
    <row r="35" spans="1:9" x14ac:dyDescent="0.35">
      <c r="A35" t="s">
        <v>169</v>
      </c>
      <c r="B35" s="1" t="s">
        <v>193</v>
      </c>
      <c r="C35" s="3" t="s">
        <v>11</v>
      </c>
      <c r="D35" t="s">
        <v>204</v>
      </c>
      <c r="E35" t="s">
        <v>28</v>
      </c>
      <c r="F35" t="s">
        <v>103</v>
      </c>
      <c r="G35" s="8">
        <v>3800</v>
      </c>
      <c r="H35" s="4">
        <v>1</v>
      </c>
      <c r="I35" s="3" t="s">
        <v>23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/>
  </sheetViews>
  <sheetFormatPr defaultRowHeight="14.5" x14ac:dyDescent="0.35"/>
  <cols>
    <col min="1" max="1" width="10.08984375" customWidth="1"/>
    <col min="2" max="2" width="25.7265625" style="1" bestFit="1" customWidth="1"/>
    <col min="3" max="3" width="9.1796875" style="3" bestFit="1" customWidth="1"/>
    <col min="4" max="4" width="19.08984375" customWidth="1"/>
    <col min="5" max="5" width="10.90625" customWidth="1"/>
    <col min="6" max="6" width="15.36328125" bestFit="1" customWidth="1"/>
    <col min="7" max="7" width="16" style="8" customWidth="1"/>
    <col min="8" max="8" width="10.7265625" style="4" customWidth="1"/>
    <col min="9" max="9" width="10.26953125" style="3" customWidth="1"/>
    <col min="12" max="12" width="12.36328125" customWidth="1"/>
    <col min="13" max="13" width="20.7265625" customWidth="1"/>
  </cols>
  <sheetData>
    <row r="1" spans="1:10" s="2" customFormat="1" ht="15.5" x14ac:dyDescent="0.35">
      <c r="A1" s="2" t="s">
        <v>0</v>
      </c>
      <c r="B1" s="9" t="s">
        <v>173</v>
      </c>
      <c r="C1" s="5" t="s">
        <v>2</v>
      </c>
      <c r="D1" s="2" t="s">
        <v>195</v>
      </c>
      <c r="E1" s="2" t="s">
        <v>4</v>
      </c>
      <c r="F1" s="2" t="s">
        <v>5</v>
      </c>
      <c r="G1" s="7" t="s">
        <v>194</v>
      </c>
      <c r="H1" s="6" t="s">
        <v>7</v>
      </c>
      <c r="I1" s="5" t="s">
        <v>8</v>
      </c>
      <c r="J1" s="2" t="s">
        <v>205</v>
      </c>
    </row>
    <row r="2" spans="1:10" x14ac:dyDescent="0.35">
      <c r="A2" t="s">
        <v>9</v>
      </c>
      <c r="B2" s="1">
        <v>45662</v>
      </c>
      <c r="C2" s="3" t="s">
        <v>11</v>
      </c>
      <c r="D2" t="s">
        <v>196</v>
      </c>
      <c r="E2" t="s">
        <v>13</v>
      </c>
      <c r="F2" t="s">
        <v>14</v>
      </c>
      <c r="G2" s="8">
        <v>120000</v>
      </c>
      <c r="H2" s="4">
        <v>2</v>
      </c>
      <c r="I2" s="3" t="s">
        <v>16</v>
      </c>
      <c r="J2" t="b">
        <f>ISNUMBER(Table1[[#This Row],[Order Date]])</f>
        <v>1</v>
      </c>
    </row>
    <row r="3" spans="1:10" x14ac:dyDescent="0.35">
      <c r="A3" t="s">
        <v>17</v>
      </c>
      <c r="B3" s="1">
        <v>45662</v>
      </c>
      <c r="C3" s="3" t="s">
        <v>11</v>
      </c>
      <c r="D3" t="s">
        <v>20</v>
      </c>
      <c r="E3" t="s">
        <v>13</v>
      </c>
      <c r="F3" t="s">
        <v>21</v>
      </c>
      <c r="G3" s="8">
        <v>85000</v>
      </c>
      <c r="H3" s="4">
        <v>1</v>
      </c>
      <c r="I3" s="3" t="s">
        <v>23</v>
      </c>
      <c r="J3" t="b">
        <f>ISNUMBER(Table1[[#This Row],[Order Date]])</f>
        <v>1</v>
      </c>
    </row>
    <row r="4" spans="1:10" x14ac:dyDescent="0.35">
      <c r="A4" t="s">
        <v>24</v>
      </c>
      <c r="B4" s="1">
        <v>45664</v>
      </c>
      <c r="C4" s="3" t="s">
        <v>26</v>
      </c>
      <c r="D4" t="s">
        <v>27</v>
      </c>
      <c r="E4" t="s">
        <v>28</v>
      </c>
      <c r="F4" t="s">
        <v>29</v>
      </c>
      <c r="G4" s="8">
        <v>45000</v>
      </c>
      <c r="H4" s="4">
        <v>1</v>
      </c>
      <c r="I4" s="3" t="s">
        <v>23</v>
      </c>
      <c r="J4" t="b">
        <f>ISNUMBER(Table1[[#This Row],[Order Date]])</f>
        <v>1</v>
      </c>
    </row>
    <row r="5" spans="1:10" x14ac:dyDescent="0.35">
      <c r="A5" t="s">
        <v>31</v>
      </c>
      <c r="B5" s="1">
        <v>45665</v>
      </c>
      <c r="C5" s="3" t="s">
        <v>33</v>
      </c>
      <c r="D5" t="s">
        <v>197</v>
      </c>
      <c r="E5" t="s">
        <v>28</v>
      </c>
      <c r="F5" t="s">
        <v>35</v>
      </c>
      <c r="G5" s="8">
        <v>15000</v>
      </c>
      <c r="H5" s="4">
        <v>2</v>
      </c>
      <c r="I5" s="3" t="s">
        <v>16</v>
      </c>
      <c r="J5" t="b">
        <f>ISNUMBER(Table1[[#This Row],[Order Date]])</f>
        <v>1</v>
      </c>
    </row>
    <row r="6" spans="1:10" x14ac:dyDescent="0.35">
      <c r="A6" t="s">
        <v>37</v>
      </c>
      <c r="B6" s="1">
        <v>45665</v>
      </c>
      <c r="C6" s="3" t="s">
        <v>39</v>
      </c>
      <c r="D6" t="s">
        <v>40</v>
      </c>
      <c r="E6" t="s">
        <v>13</v>
      </c>
      <c r="F6" t="s">
        <v>41</v>
      </c>
      <c r="G6" s="8">
        <v>8000</v>
      </c>
      <c r="H6" s="4">
        <v>3</v>
      </c>
      <c r="I6" s="3" t="s">
        <v>16</v>
      </c>
      <c r="J6" t="b">
        <f>ISNUMBER(Table1[[#This Row],[Order Date]])</f>
        <v>1</v>
      </c>
    </row>
    <row r="7" spans="1:10" x14ac:dyDescent="0.35">
      <c r="A7" t="s">
        <v>43</v>
      </c>
      <c r="B7" s="1">
        <v>45667</v>
      </c>
      <c r="C7" s="3" t="s">
        <v>11</v>
      </c>
      <c r="D7" t="s">
        <v>45</v>
      </c>
      <c r="E7" t="s">
        <v>46</v>
      </c>
      <c r="F7" t="s">
        <v>47</v>
      </c>
      <c r="G7" s="8">
        <v>2500</v>
      </c>
      <c r="H7" s="4">
        <v>5</v>
      </c>
      <c r="I7" s="3" t="s">
        <v>23</v>
      </c>
      <c r="J7" t="b">
        <f>ISNUMBER(Table1[[#This Row],[Order Date]])</f>
        <v>1</v>
      </c>
    </row>
    <row r="8" spans="1:10" x14ac:dyDescent="0.35">
      <c r="A8" t="s">
        <v>49</v>
      </c>
      <c r="B8" s="1">
        <v>45668</v>
      </c>
      <c r="C8" s="3" t="s">
        <v>11</v>
      </c>
      <c r="D8" t="s">
        <v>52</v>
      </c>
      <c r="E8" t="s">
        <v>46</v>
      </c>
      <c r="F8" t="s">
        <v>53</v>
      </c>
      <c r="G8" s="8">
        <v>5500</v>
      </c>
      <c r="H8" s="4">
        <v>2</v>
      </c>
      <c r="I8" s="3" t="s">
        <v>16</v>
      </c>
      <c r="J8" t="b">
        <f>ISNUMBER(Table1[[#This Row],[Order Date]])</f>
        <v>1</v>
      </c>
    </row>
    <row r="9" spans="1:10" x14ac:dyDescent="0.35">
      <c r="A9" t="s">
        <v>55</v>
      </c>
      <c r="B9" s="1">
        <v>45668</v>
      </c>
      <c r="C9" s="3" t="s">
        <v>26</v>
      </c>
      <c r="D9" t="s">
        <v>57</v>
      </c>
      <c r="E9" t="s">
        <v>46</v>
      </c>
      <c r="F9" t="s">
        <v>58</v>
      </c>
      <c r="G9" s="8">
        <v>6500</v>
      </c>
      <c r="H9" s="4">
        <v>1</v>
      </c>
      <c r="I9" s="3" t="s">
        <v>23</v>
      </c>
      <c r="J9" t="b">
        <f>ISNUMBER(Table1[[#This Row],[Order Date]])</f>
        <v>1</v>
      </c>
    </row>
    <row r="10" spans="1:10" x14ac:dyDescent="0.35">
      <c r="A10" t="s">
        <v>60</v>
      </c>
      <c r="B10" s="1">
        <v>45669</v>
      </c>
      <c r="C10" s="3" t="s">
        <v>33</v>
      </c>
      <c r="D10" t="s">
        <v>198</v>
      </c>
      <c r="E10" t="s">
        <v>13</v>
      </c>
      <c r="F10" t="s">
        <v>14</v>
      </c>
      <c r="G10" s="8">
        <v>118000</v>
      </c>
      <c r="H10" s="4">
        <v>1</v>
      </c>
      <c r="I10" s="3" t="s">
        <v>16</v>
      </c>
      <c r="J10" t="b">
        <f>ISNUMBER(Table1[[#This Row],[Order Date]])</f>
        <v>1</v>
      </c>
    </row>
    <row r="11" spans="1:10" x14ac:dyDescent="0.35">
      <c r="A11" t="s">
        <v>64</v>
      </c>
      <c r="B11" s="1">
        <v>45670</v>
      </c>
      <c r="C11" s="3" t="s">
        <v>39</v>
      </c>
      <c r="D11" t="s">
        <v>66</v>
      </c>
      <c r="E11" t="s">
        <v>28</v>
      </c>
      <c r="F11" t="s">
        <v>67</v>
      </c>
      <c r="G11" s="8">
        <v>3500</v>
      </c>
      <c r="H11" s="4">
        <v>2</v>
      </c>
      <c r="I11" s="3" t="s">
        <v>23</v>
      </c>
      <c r="J11" t="b">
        <f>ISNUMBER(Table1[[#This Row],[Order Date]])</f>
        <v>1</v>
      </c>
    </row>
    <row r="12" spans="1:10" x14ac:dyDescent="0.35">
      <c r="A12" t="s">
        <v>69</v>
      </c>
      <c r="B12" s="1">
        <v>45671</v>
      </c>
      <c r="C12" s="3" t="s">
        <v>11</v>
      </c>
      <c r="D12" t="s">
        <v>71</v>
      </c>
      <c r="E12" t="s">
        <v>13</v>
      </c>
      <c r="F12" t="s">
        <v>72</v>
      </c>
      <c r="G12" s="8" t="e">
        <v>#VALUE!</v>
      </c>
      <c r="H12" s="4">
        <v>4</v>
      </c>
      <c r="I12" s="3" t="s">
        <v>16</v>
      </c>
      <c r="J12" t="b">
        <f>ISNUMBER(Table1[[#This Row],[Order Date]])</f>
        <v>1</v>
      </c>
    </row>
    <row r="13" spans="1:10" x14ac:dyDescent="0.35">
      <c r="A13" t="s">
        <v>73</v>
      </c>
      <c r="B13" s="1">
        <v>45671</v>
      </c>
      <c r="C13" s="3" t="s">
        <v>26</v>
      </c>
      <c r="D13" t="s">
        <v>75</v>
      </c>
      <c r="E13" t="s">
        <v>28</v>
      </c>
      <c r="F13" t="s">
        <v>76</v>
      </c>
      <c r="G13" s="8">
        <v>2800</v>
      </c>
      <c r="H13" s="4">
        <v>1</v>
      </c>
      <c r="I13" s="3" t="s">
        <v>16</v>
      </c>
      <c r="J13" t="b">
        <f>ISNUMBER(Table1[[#This Row],[Order Date]])</f>
        <v>1</v>
      </c>
    </row>
    <row r="14" spans="1:10" x14ac:dyDescent="0.35">
      <c r="A14" t="s">
        <v>78</v>
      </c>
      <c r="B14" s="1">
        <v>45672</v>
      </c>
      <c r="C14" s="3" t="s">
        <v>33</v>
      </c>
      <c r="D14" t="s">
        <v>80</v>
      </c>
      <c r="E14" t="s">
        <v>46</v>
      </c>
      <c r="F14" t="s">
        <v>81</v>
      </c>
      <c r="G14" s="8">
        <v>3000</v>
      </c>
      <c r="H14" s="4">
        <v>3</v>
      </c>
      <c r="I14" s="3" t="s">
        <v>23</v>
      </c>
      <c r="J14" t="b">
        <f>ISNUMBER(Table1[[#This Row],[Order Date]])</f>
        <v>1</v>
      </c>
    </row>
    <row r="15" spans="1:10" x14ac:dyDescent="0.35">
      <c r="A15" t="s">
        <v>83</v>
      </c>
      <c r="B15" s="1">
        <v>45673</v>
      </c>
      <c r="C15" s="3" t="s">
        <v>39</v>
      </c>
      <c r="D15" t="s">
        <v>199</v>
      </c>
      <c r="E15" t="s">
        <v>13</v>
      </c>
      <c r="F15" t="s">
        <v>21</v>
      </c>
      <c r="G15" s="8">
        <v>95000</v>
      </c>
      <c r="H15" s="4">
        <v>1</v>
      </c>
      <c r="I15" s="3" t="s">
        <v>16</v>
      </c>
      <c r="J15" t="b">
        <f>ISNUMBER(Table1[[#This Row],[Order Date]])</f>
        <v>1</v>
      </c>
    </row>
    <row r="16" spans="1:10" x14ac:dyDescent="0.35">
      <c r="A16" t="s">
        <v>87</v>
      </c>
      <c r="B16" s="1">
        <v>45673</v>
      </c>
      <c r="C16" s="3" t="s">
        <v>11</v>
      </c>
      <c r="D16" t="s">
        <v>89</v>
      </c>
      <c r="E16" t="s">
        <v>28</v>
      </c>
      <c r="F16" t="s">
        <v>149</v>
      </c>
      <c r="G16" s="8">
        <v>22000</v>
      </c>
      <c r="H16" s="4">
        <v>1</v>
      </c>
      <c r="I16" s="3" t="s">
        <v>23</v>
      </c>
      <c r="J16" t="b">
        <f>ISNUMBER(Table1[[#This Row],[Order Date]])</f>
        <v>1</v>
      </c>
    </row>
    <row r="17" spans="1:10" x14ac:dyDescent="0.35">
      <c r="A17" t="s">
        <v>92</v>
      </c>
      <c r="B17" s="1">
        <v>45675</v>
      </c>
      <c r="C17" s="3" t="s">
        <v>26</v>
      </c>
      <c r="D17" t="s">
        <v>94</v>
      </c>
      <c r="E17" t="s">
        <v>13</v>
      </c>
      <c r="F17" t="s">
        <v>14</v>
      </c>
      <c r="G17" s="8">
        <v>110000</v>
      </c>
      <c r="H17" s="4">
        <v>1</v>
      </c>
      <c r="I17" s="3" t="s">
        <v>16</v>
      </c>
      <c r="J17" t="b">
        <f>ISNUMBER(Table1[[#This Row],[Order Date]])</f>
        <v>1</v>
      </c>
    </row>
    <row r="18" spans="1:10" x14ac:dyDescent="0.35">
      <c r="A18" t="s">
        <v>96</v>
      </c>
      <c r="B18" s="1">
        <v>45675</v>
      </c>
      <c r="C18" s="3" t="s">
        <v>33</v>
      </c>
      <c r="D18" t="s">
        <v>97</v>
      </c>
      <c r="E18" t="s">
        <v>46</v>
      </c>
      <c r="F18" t="s">
        <v>98</v>
      </c>
      <c r="G18" s="8">
        <v>2700</v>
      </c>
      <c r="H18" s="4">
        <v>2</v>
      </c>
      <c r="I18" s="3" t="s">
        <v>23</v>
      </c>
      <c r="J18" t="b">
        <f>ISNUMBER(Table1[[#This Row],[Order Date]])</f>
        <v>1</v>
      </c>
    </row>
    <row r="19" spans="1:10" x14ac:dyDescent="0.35">
      <c r="A19" t="s">
        <v>100</v>
      </c>
      <c r="B19" s="1">
        <v>45675</v>
      </c>
      <c r="C19" s="3" t="s">
        <v>39</v>
      </c>
      <c r="D19" t="s">
        <v>102</v>
      </c>
      <c r="E19" t="s">
        <v>28</v>
      </c>
      <c r="F19" t="s">
        <v>103</v>
      </c>
      <c r="G19" s="8">
        <v>4000</v>
      </c>
      <c r="H19" s="4">
        <v>1</v>
      </c>
      <c r="I19" s="3" t="s">
        <v>16</v>
      </c>
      <c r="J19" t="b">
        <f>ISNUMBER(Table1[[#This Row],[Order Date]])</f>
        <v>1</v>
      </c>
    </row>
    <row r="20" spans="1:10" x14ac:dyDescent="0.35">
      <c r="A20" t="s">
        <v>105</v>
      </c>
      <c r="B20" s="1">
        <v>45677</v>
      </c>
      <c r="C20" s="3" t="s">
        <v>11</v>
      </c>
      <c r="D20" t="s">
        <v>200</v>
      </c>
      <c r="E20" t="s">
        <v>13</v>
      </c>
      <c r="F20" t="s">
        <v>41</v>
      </c>
      <c r="G20" s="8">
        <v>7500</v>
      </c>
      <c r="H20" s="4">
        <v>2</v>
      </c>
      <c r="I20" s="3" t="s">
        <v>16</v>
      </c>
      <c r="J20" t="b">
        <f>ISNUMBER(Table1[[#This Row],[Order Date]])</f>
        <v>1</v>
      </c>
    </row>
    <row r="21" spans="1:10" x14ac:dyDescent="0.35">
      <c r="A21" t="s">
        <v>109</v>
      </c>
      <c r="B21" s="1">
        <v>45678</v>
      </c>
      <c r="C21" s="3" t="s">
        <v>26</v>
      </c>
      <c r="D21" t="s">
        <v>111</v>
      </c>
      <c r="E21" t="s">
        <v>28</v>
      </c>
      <c r="F21" t="s">
        <v>29</v>
      </c>
      <c r="G21" s="8">
        <v>47000</v>
      </c>
      <c r="H21" s="4">
        <v>1</v>
      </c>
      <c r="I21" s="3" t="s">
        <v>23</v>
      </c>
      <c r="J21" t="b">
        <f>ISNUMBER(Table1[[#This Row],[Order Date]])</f>
        <v>1</v>
      </c>
    </row>
    <row r="22" spans="1:10" x14ac:dyDescent="0.35">
      <c r="A22" t="s">
        <v>113</v>
      </c>
      <c r="B22" s="1">
        <v>45679</v>
      </c>
      <c r="C22" s="3" t="s">
        <v>33</v>
      </c>
      <c r="D22" t="s">
        <v>115</v>
      </c>
      <c r="E22" t="s">
        <v>13</v>
      </c>
      <c r="F22" t="s">
        <v>72</v>
      </c>
      <c r="G22" s="8">
        <v>39000</v>
      </c>
      <c r="H22" s="4">
        <v>1</v>
      </c>
      <c r="I22" s="3" t="s">
        <v>16</v>
      </c>
      <c r="J22" t="b">
        <f>ISNUMBER(Table1[[#This Row],[Order Date]])</f>
        <v>1</v>
      </c>
    </row>
    <row r="23" spans="1:10" x14ac:dyDescent="0.35">
      <c r="A23" t="s">
        <v>117</v>
      </c>
      <c r="B23" s="1">
        <v>45679</v>
      </c>
      <c r="C23" s="3" t="s">
        <v>39</v>
      </c>
      <c r="D23" t="s">
        <v>119</v>
      </c>
      <c r="E23" t="s">
        <v>46</v>
      </c>
      <c r="F23" t="s">
        <v>120</v>
      </c>
      <c r="G23" s="8">
        <v>6800</v>
      </c>
      <c r="H23" s="4">
        <v>1</v>
      </c>
      <c r="I23" s="3" t="s">
        <v>23</v>
      </c>
      <c r="J23" t="b">
        <f>ISNUMBER(Table1[[#This Row],[Order Date]])</f>
        <v>1</v>
      </c>
    </row>
    <row r="24" spans="1:10" x14ac:dyDescent="0.35">
      <c r="A24" t="s">
        <v>122</v>
      </c>
      <c r="B24" s="1">
        <v>45680</v>
      </c>
      <c r="C24" s="3" t="s">
        <v>11</v>
      </c>
      <c r="D24" t="s">
        <v>201</v>
      </c>
      <c r="E24" t="s">
        <v>28</v>
      </c>
      <c r="F24" t="s">
        <v>67</v>
      </c>
      <c r="G24" s="8">
        <v>3200</v>
      </c>
      <c r="H24" s="4">
        <v>2</v>
      </c>
      <c r="I24" s="3" t="s">
        <v>16</v>
      </c>
      <c r="J24" t="b">
        <f>ISNUMBER(Table1[[#This Row],[Order Date]])</f>
        <v>1</v>
      </c>
    </row>
    <row r="25" spans="1:10" x14ac:dyDescent="0.35">
      <c r="A25" t="s">
        <v>126</v>
      </c>
      <c r="B25" s="1">
        <v>45681</v>
      </c>
      <c r="C25" s="3" t="s">
        <v>26</v>
      </c>
      <c r="D25" t="s">
        <v>128</v>
      </c>
      <c r="E25" t="s">
        <v>13</v>
      </c>
      <c r="F25" t="s">
        <v>21</v>
      </c>
      <c r="G25" s="8">
        <v>102000</v>
      </c>
      <c r="H25" s="4">
        <v>1</v>
      </c>
      <c r="I25" s="3" t="s">
        <v>16</v>
      </c>
      <c r="J25" t="b">
        <f>ISNUMBER(Table1[[#This Row],[Order Date]])</f>
        <v>1</v>
      </c>
    </row>
    <row r="26" spans="1:10" x14ac:dyDescent="0.35">
      <c r="A26" t="s">
        <v>130</v>
      </c>
      <c r="B26" s="1">
        <v>45681</v>
      </c>
      <c r="C26" s="3" t="s">
        <v>33</v>
      </c>
      <c r="D26" t="s">
        <v>132</v>
      </c>
      <c r="E26" t="s">
        <v>28</v>
      </c>
      <c r="F26" t="s">
        <v>35</v>
      </c>
      <c r="G26" s="8">
        <v>16000</v>
      </c>
      <c r="H26" s="4">
        <v>1</v>
      </c>
      <c r="I26" s="3" t="s">
        <v>23</v>
      </c>
      <c r="J26" t="b">
        <f>ISNUMBER(Table1[[#This Row],[Order Date]])</f>
        <v>1</v>
      </c>
    </row>
    <row r="27" spans="1:10" x14ac:dyDescent="0.35">
      <c r="A27" t="s">
        <v>134</v>
      </c>
      <c r="B27" s="1">
        <v>45682</v>
      </c>
      <c r="C27" s="3" t="s">
        <v>39</v>
      </c>
      <c r="D27" t="s">
        <v>202</v>
      </c>
      <c r="E27" t="s">
        <v>13</v>
      </c>
      <c r="F27" t="s">
        <v>14</v>
      </c>
      <c r="G27" s="8">
        <v>115000</v>
      </c>
      <c r="H27" s="4">
        <v>1</v>
      </c>
      <c r="I27" s="3" t="s">
        <v>16</v>
      </c>
      <c r="J27" t="b">
        <f>ISNUMBER(Table1[[#This Row],[Order Date]])</f>
        <v>1</v>
      </c>
    </row>
    <row r="28" spans="1:10" x14ac:dyDescent="0.35">
      <c r="A28" t="s">
        <v>138</v>
      </c>
      <c r="B28" s="1">
        <v>45683</v>
      </c>
      <c r="C28" s="3" t="s">
        <v>11</v>
      </c>
      <c r="D28" t="s">
        <v>140</v>
      </c>
      <c r="E28" t="s">
        <v>46</v>
      </c>
      <c r="F28" t="s">
        <v>53</v>
      </c>
      <c r="G28" s="8">
        <v>5600</v>
      </c>
      <c r="H28" s="4">
        <v>2</v>
      </c>
      <c r="I28" s="3" t="s">
        <v>23</v>
      </c>
      <c r="J28" t="b">
        <f>ISNUMBER(Table1[[#This Row],[Order Date]])</f>
        <v>1</v>
      </c>
    </row>
    <row r="29" spans="1:10" x14ac:dyDescent="0.35">
      <c r="A29" t="s">
        <v>142</v>
      </c>
      <c r="B29" s="1">
        <v>45684</v>
      </c>
      <c r="C29" s="3" t="s">
        <v>26</v>
      </c>
      <c r="D29" t="s">
        <v>144</v>
      </c>
      <c r="E29" t="s">
        <v>46</v>
      </c>
      <c r="F29" t="s">
        <v>58</v>
      </c>
      <c r="G29" s="8">
        <v>6500</v>
      </c>
      <c r="H29" s="4">
        <v>1</v>
      </c>
      <c r="I29" s="3" t="s">
        <v>16</v>
      </c>
      <c r="J29" t="b">
        <f>ISNUMBER(Table1[[#This Row],[Order Date]])</f>
        <v>1</v>
      </c>
    </row>
    <row r="30" spans="1:10" x14ac:dyDescent="0.35">
      <c r="A30" t="s">
        <v>146</v>
      </c>
      <c r="B30" s="1">
        <v>45685</v>
      </c>
      <c r="C30" s="3" t="s">
        <v>33</v>
      </c>
      <c r="D30" t="s">
        <v>148</v>
      </c>
      <c r="E30" t="s">
        <v>28</v>
      </c>
      <c r="F30" t="s">
        <v>149</v>
      </c>
      <c r="G30" s="8">
        <v>21000</v>
      </c>
      <c r="H30" s="4">
        <v>1</v>
      </c>
      <c r="I30" s="3" t="s">
        <v>16</v>
      </c>
      <c r="J30" t="b">
        <f>ISNUMBER(Table1[[#This Row],[Order Date]])</f>
        <v>1</v>
      </c>
    </row>
    <row r="31" spans="1:10" x14ac:dyDescent="0.35">
      <c r="A31" t="s">
        <v>151</v>
      </c>
      <c r="B31" s="1">
        <v>45685</v>
      </c>
      <c r="C31" s="3" t="s">
        <v>39</v>
      </c>
      <c r="D31" t="s">
        <v>203</v>
      </c>
      <c r="E31" t="s">
        <v>13</v>
      </c>
      <c r="F31" t="s">
        <v>41</v>
      </c>
      <c r="G31" s="8">
        <v>-5000</v>
      </c>
      <c r="H31" s="4">
        <v>1</v>
      </c>
      <c r="I31" s="3" t="s">
        <v>23</v>
      </c>
      <c r="J31" t="b">
        <f>ISNUMBER(Table1[[#This Row],[Order Date]])</f>
        <v>1</v>
      </c>
    </row>
    <row r="32" spans="1:10" x14ac:dyDescent="0.35">
      <c r="A32" t="s">
        <v>155</v>
      </c>
      <c r="B32" s="1">
        <v>45686</v>
      </c>
      <c r="C32" s="3" t="s">
        <v>11</v>
      </c>
      <c r="D32" t="s">
        <v>157</v>
      </c>
      <c r="E32" t="s">
        <v>13</v>
      </c>
      <c r="F32" t="s">
        <v>72</v>
      </c>
      <c r="G32" s="8">
        <v>40000</v>
      </c>
      <c r="H32" s="4">
        <v>1</v>
      </c>
      <c r="I32" s="3" t="s">
        <v>16</v>
      </c>
      <c r="J32" t="b">
        <f>ISNUMBER(Table1[[#This Row],[Order Date]])</f>
        <v>1</v>
      </c>
    </row>
    <row r="33" spans="1:10" x14ac:dyDescent="0.35">
      <c r="A33" t="s">
        <v>159</v>
      </c>
      <c r="B33" s="1">
        <v>45687</v>
      </c>
      <c r="C33" s="3" t="s">
        <v>26</v>
      </c>
      <c r="D33" t="s">
        <v>161</v>
      </c>
      <c r="E33" t="s">
        <v>28</v>
      </c>
      <c r="F33" t="s">
        <v>76</v>
      </c>
      <c r="G33" s="8">
        <v>3000</v>
      </c>
      <c r="H33" s="4">
        <v>1</v>
      </c>
      <c r="I33" s="3" t="s">
        <v>23</v>
      </c>
      <c r="J33" t="b">
        <f>ISNUMBER(Table1[[#This Row],[Order Date]])</f>
        <v>1</v>
      </c>
    </row>
    <row r="34" spans="1:10" x14ac:dyDescent="0.35">
      <c r="A34" t="s">
        <v>162</v>
      </c>
      <c r="B34" s="1">
        <v>45687</v>
      </c>
      <c r="C34" s="3" t="s">
        <v>33</v>
      </c>
      <c r="D34" t="s">
        <v>164</v>
      </c>
      <c r="E34" t="s">
        <v>46</v>
      </c>
      <c r="F34" t="s">
        <v>47</v>
      </c>
      <c r="G34" s="8">
        <v>2500</v>
      </c>
      <c r="H34" s="4">
        <v>4</v>
      </c>
      <c r="I34" s="3" t="s">
        <v>16</v>
      </c>
      <c r="J34" t="b">
        <f>ISNUMBER(Table1[[#This Row],[Order Date]])</f>
        <v>1</v>
      </c>
    </row>
    <row r="35" spans="1:10" x14ac:dyDescent="0.35">
      <c r="A35" t="s">
        <v>165</v>
      </c>
      <c r="B35" s="1">
        <v>45688</v>
      </c>
      <c r="C35" s="3" t="s">
        <v>39</v>
      </c>
      <c r="D35" t="s">
        <v>167</v>
      </c>
      <c r="E35" t="s">
        <v>13</v>
      </c>
      <c r="F35" t="s">
        <v>21</v>
      </c>
      <c r="G35" s="8">
        <v>98000</v>
      </c>
      <c r="H35" s="4">
        <v>1</v>
      </c>
      <c r="I35" s="3" t="s">
        <v>16</v>
      </c>
      <c r="J35" t="b">
        <f>ISNUMBER(Table1[[#This Row],[Order Date]])</f>
        <v>1</v>
      </c>
    </row>
    <row r="36" spans="1:10" x14ac:dyDescent="0.35">
      <c r="A36" t="s">
        <v>169</v>
      </c>
      <c r="B36" s="1">
        <v>45689</v>
      </c>
      <c r="C36" s="3" t="s">
        <v>11</v>
      </c>
      <c r="D36" t="s">
        <v>204</v>
      </c>
      <c r="E36" t="s">
        <v>28</v>
      </c>
      <c r="F36" t="s">
        <v>103</v>
      </c>
      <c r="G36" s="8">
        <v>3800</v>
      </c>
      <c r="H36" s="4">
        <v>1</v>
      </c>
      <c r="I36" s="3" t="s">
        <v>23</v>
      </c>
      <c r="J36" t="b">
        <f>ISNUMBER(Table1[[#This Row],[Order Date]])</f>
        <v>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UrbanMart Sales Jan 2025(Orig)</vt:lpstr>
      <vt:lpstr>Cleaned_Data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Auma Viana</cp:lastModifiedBy>
  <dcterms:created xsi:type="dcterms:W3CDTF">2025-12-24T19:54:16Z</dcterms:created>
  <dcterms:modified xsi:type="dcterms:W3CDTF">2026-03-16T18:14:02Z</dcterms:modified>
</cp:coreProperties>
</file>